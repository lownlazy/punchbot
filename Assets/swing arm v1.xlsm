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480" yWindow="105" windowWidth="16215" windowHeight="99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M33" i="1"/>
  <c r="O29"/>
  <c r="I38"/>
  <c r="N29"/>
  <c r="O23"/>
  <c r="O22"/>
  <c r="N23"/>
  <c r="N22"/>
  <c r="N19"/>
  <c r="O19"/>
  <c r="O18"/>
  <c r="N18"/>
  <c r="C32"/>
  <c r="C31"/>
  <c r="B32"/>
  <c r="B31"/>
  <c r="C29"/>
  <c r="C28"/>
  <c r="B29"/>
  <c r="B28"/>
  <c r="C26"/>
  <c r="C25"/>
  <c r="B26"/>
  <c r="B25"/>
  <c r="B23"/>
  <c r="C23"/>
  <c r="C22"/>
  <c r="B22"/>
  <c r="C19"/>
  <c r="C20"/>
  <c r="B20"/>
  <c r="B18"/>
  <c r="B17"/>
  <c r="B19"/>
  <c r="C18"/>
  <c r="C17"/>
  <c r="N33"/>
  <c r="O33"/>
  <c r="N35"/>
  <c r="O35" s="1"/>
  <c r="O31"/>
  <c r="N31"/>
  <c r="O4"/>
  <c r="O6"/>
  <c r="N6"/>
  <c r="N4"/>
  <c r="N8"/>
  <c r="O8"/>
  <c r="O10"/>
  <c r="N10"/>
  <c r="O15"/>
  <c r="N15"/>
  <c r="O12"/>
  <c r="N12"/>
  <c r="C3"/>
  <c r="B3"/>
  <c r="B14"/>
  <c r="C14"/>
  <c r="C12"/>
  <c r="B12"/>
  <c r="B8"/>
  <c r="C8" s="1"/>
  <c r="B10"/>
  <c r="B5"/>
  <c r="C10"/>
  <c r="C5"/>
  <c r="I37" l="1"/>
</calcChain>
</file>

<file path=xl/sharedStrings.xml><?xml version="1.0" encoding="utf-8"?>
<sst xmlns="http://schemas.openxmlformats.org/spreadsheetml/2006/main" count="8" uniqueCount="5">
  <si>
    <t>sw: y,z</t>
  </si>
  <si>
    <t>grams</t>
  </si>
  <si>
    <t>moment</t>
  </si>
  <si>
    <t>Sum moments:</t>
  </si>
  <si>
    <t>Sum weight:</t>
  </si>
</sst>
</file>

<file path=xl/styles.xml><?xml version="1.0" encoding="utf-8"?>
<styleSheet xmlns="http://schemas.openxmlformats.org/spreadsheetml/2006/main">
  <numFmts count="2">
    <numFmt numFmtId="166" formatCode="0.0000"/>
    <numFmt numFmtId="167" formatCode="0.000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67758</xdr:colOff>
      <xdr:row>2</xdr:row>
      <xdr:rowOff>19050</xdr:rowOff>
    </xdr:from>
    <xdr:to>
      <xdr:col>11</xdr:col>
      <xdr:colOff>390525</xdr:colOff>
      <xdr:row>34</xdr:row>
      <xdr:rowOff>95250</xdr:rowOff>
    </xdr:to>
    <xdr:pic>
      <xdr:nvPicPr>
        <xdr:cNvPr id="2" name="Picture 1" descr="explode arm v1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6158" y="400050"/>
          <a:ext cx="4589967" cy="6172200"/>
        </a:xfrm>
        <a:prstGeom prst="rect">
          <a:avLst/>
        </a:prstGeom>
      </xdr:spPr>
    </xdr:pic>
    <xdr:clientData/>
  </xdr:twoCellAnchor>
  <xdr:twoCellAnchor>
    <xdr:from>
      <xdr:col>3</xdr:col>
      <xdr:colOff>171450</xdr:colOff>
      <xdr:row>7</xdr:row>
      <xdr:rowOff>133350</xdr:rowOff>
    </xdr:from>
    <xdr:to>
      <xdr:col>4</xdr:col>
      <xdr:colOff>304800</xdr:colOff>
      <xdr:row>9</xdr:row>
      <xdr:rowOff>47625</xdr:rowOff>
    </xdr:to>
    <xdr:cxnSp macro="">
      <xdr:nvCxnSpPr>
        <xdr:cNvPr id="4" name="Straight Arrow Connector 3"/>
        <xdr:cNvCxnSpPr/>
      </xdr:nvCxnSpPr>
      <xdr:spPr>
        <a:xfrm>
          <a:off x="2000250" y="1466850"/>
          <a:ext cx="742950" cy="2952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9</xdr:row>
      <xdr:rowOff>142875</xdr:rowOff>
    </xdr:from>
    <xdr:to>
      <xdr:col>4</xdr:col>
      <xdr:colOff>419100</xdr:colOff>
      <xdr:row>10</xdr:row>
      <xdr:rowOff>104775</xdr:rowOff>
    </xdr:to>
    <xdr:cxnSp macro="">
      <xdr:nvCxnSpPr>
        <xdr:cNvPr id="6" name="Straight Arrow Connector 5"/>
        <xdr:cNvCxnSpPr/>
      </xdr:nvCxnSpPr>
      <xdr:spPr>
        <a:xfrm>
          <a:off x="1905000" y="1857375"/>
          <a:ext cx="952500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11</xdr:row>
      <xdr:rowOff>104775</xdr:rowOff>
    </xdr:from>
    <xdr:to>
      <xdr:col>4</xdr:col>
      <xdr:colOff>200025</xdr:colOff>
      <xdr:row>11</xdr:row>
      <xdr:rowOff>123825</xdr:rowOff>
    </xdr:to>
    <xdr:cxnSp macro="">
      <xdr:nvCxnSpPr>
        <xdr:cNvPr id="8" name="Straight Arrow Connector 7"/>
        <xdr:cNvCxnSpPr/>
      </xdr:nvCxnSpPr>
      <xdr:spPr>
        <a:xfrm flipV="1">
          <a:off x="1838325" y="2200275"/>
          <a:ext cx="800100" cy="19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12</xdr:row>
      <xdr:rowOff>76200</xdr:rowOff>
    </xdr:from>
    <xdr:to>
      <xdr:col>4</xdr:col>
      <xdr:colOff>409575</xdr:colOff>
      <xdr:row>13</xdr:row>
      <xdr:rowOff>152400</xdr:rowOff>
    </xdr:to>
    <xdr:cxnSp macro="">
      <xdr:nvCxnSpPr>
        <xdr:cNvPr id="10" name="Straight Arrow Connector 9"/>
        <xdr:cNvCxnSpPr/>
      </xdr:nvCxnSpPr>
      <xdr:spPr>
        <a:xfrm flipV="1">
          <a:off x="1819275" y="2362200"/>
          <a:ext cx="1028700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4</xdr:row>
      <xdr:rowOff>133350</xdr:rowOff>
    </xdr:from>
    <xdr:to>
      <xdr:col>5</xdr:col>
      <xdr:colOff>266700</xdr:colOff>
      <xdr:row>7</xdr:row>
      <xdr:rowOff>19050</xdr:rowOff>
    </xdr:to>
    <xdr:cxnSp macro="">
      <xdr:nvCxnSpPr>
        <xdr:cNvPr id="12" name="Straight Arrow Connector 11"/>
        <xdr:cNvCxnSpPr/>
      </xdr:nvCxnSpPr>
      <xdr:spPr>
        <a:xfrm>
          <a:off x="1876425" y="895350"/>
          <a:ext cx="1438275" cy="4572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2</xdr:row>
      <xdr:rowOff>85725</xdr:rowOff>
    </xdr:from>
    <xdr:to>
      <xdr:col>6</xdr:col>
      <xdr:colOff>447675</xdr:colOff>
      <xdr:row>6</xdr:row>
      <xdr:rowOff>28575</xdr:rowOff>
    </xdr:to>
    <xdr:cxnSp macro="">
      <xdr:nvCxnSpPr>
        <xdr:cNvPr id="14" name="Straight Arrow Connector 13"/>
        <xdr:cNvCxnSpPr/>
      </xdr:nvCxnSpPr>
      <xdr:spPr>
        <a:xfrm>
          <a:off x="1847850" y="466725"/>
          <a:ext cx="2257425" cy="7048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514350</xdr:colOff>
      <xdr:row>14</xdr:row>
      <xdr:rowOff>161926</xdr:rowOff>
    </xdr:from>
    <xdr:to>
      <xdr:col>12</xdr:col>
      <xdr:colOff>19050</xdr:colOff>
      <xdr:row>14</xdr:row>
      <xdr:rowOff>171451</xdr:rowOff>
    </xdr:to>
    <xdr:cxnSp macro="">
      <xdr:nvCxnSpPr>
        <xdr:cNvPr id="18" name="Straight Arrow Connector 17"/>
        <xdr:cNvCxnSpPr/>
      </xdr:nvCxnSpPr>
      <xdr:spPr>
        <a:xfrm rot="10800000">
          <a:off x="4781550" y="2828926"/>
          <a:ext cx="2552700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9</xdr:row>
      <xdr:rowOff>28576</xdr:rowOff>
    </xdr:from>
    <xdr:to>
      <xdr:col>12</xdr:col>
      <xdr:colOff>28575</xdr:colOff>
      <xdr:row>11</xdr:row>
      <xdr:rowOff>152401</xdr:rowOff>
    </xdr:to>
    <xdr:cxnSp macro="">
      <xdr:nvCxnSpPr>
        <xdr:cNvPr id="20" name="Straight Arrow Connector 19"/>
        <xdr:cNvCxnSpPr/>
      </xdr:nvCxnSpPr>
      <xdr:spPr>
        <a:xfrm rot="10800000">
          <a:off x="5191125" y="1743076"/>
          <a:ext cx="2152650" cy="5048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7</xdr:row>
      <xdr:rowOff>57153</xdr:rowOff>
    </xdr:from>
    <xdr:to>
      <xdr:col>12</xdr:col>
      <xdr:colOff>0</xdr:colOff>
      <xdr:row>9</xdr:row>
      <xdr:rowOff>123826</xdr:rowOff>
    </xdr:to>
    <xdr:cxnSp macro="">
      <xdr:nvCxnSpPr>
        <xdr:cNvPr id="22" name="Straight Arrow Connector 21"/>
        <xdr:cNvCxnSpPr/>
      </xdr:nvCxnSpPr>
      <xdr:spPr>
        <a:xfrm rot="10800000">
          <a:off x="6286500" y="1390653"/>
          <a:ext cx="1219200" cy="44767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171450</xdr:colOff>
      <xdr:row>4</xdr:row>
      <xdr:rowOff>142876</xdr:rowOff>
    </xdr:from>
    <xdr:to>
      <xdr:col>12</xdr:col>
      <xdr:colOff>19050</xdr:colOff>
      <xdr:row>7</xdr:row>
      <xdr:rowOff>152401</xdr:rowOff>
    </xdr:to>
    <xdr:cxnSp macro="">
      <xdr:nvCxnSpPr>
        <xdr:cNvPr id="24" name="Straight Arrow Connector 23"/>
        <xdr:cNvCxnSpPr/>
      </xdr:nvCxnSpPr>
      <xdr:spPr>
        <a:xfrm rot="10800000">
          <a:off x="5657850" y="904876"/>
          <a:ext cx="1676400" cy="5810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161926</xdr:colOff>
      <xdr:row>5</xdr:row>
      <xdr:rowOff>47626</xdr:rowOff>
    </xdr:from>
    <xdr:to>
      <xdr:col>12</xdr:col>
      <xdr:colOff>19051</xdr:colOff>
      <xdr:row>5</xdr:row>
      <xdr:rowOff>114301</xdr:rowOff>
    </xdr:to>
    <xdr:cxnSp macro="">
      <xdr:nvCxnSpPr>
        <xdr:cNvPr id="26" name="Straight Arrow Connector 25"/>
        <xdr:cNvCxnSpPr/>
      </xdr:nvCxnSpPr>
      <xdr:spPr>
        <a:xfrm rot="10800000">
          <a:off x="6867526" y="1000126"/>
          <a:ext cx="466725" cy="66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276225</xdr:colOff>
      <xdr:row>3</xdr:row>
      <xdr:rowOff>76201</xdr:rowOff>
    </xdr:from>
    <xdr:to>
      <xdr:col>12</xdr:col>
      <xdr:colOff>28575</xdr:colOff>
      <xdr:row>3</xdr:row>
      <xdr:rowOff>142876</xdr:rowOff>
    </xdr:to>
    <xdr:cxnSp macro="">
      <xdr:nvCxnSpPr>
        <xdr:cNvPr id="28" name="Straight Arrow Connector 27"/>
        <xdr:cNvCxnSpPr/>
      </xdr:nvCxnSpPr>
      <xdr:spPr>
        <a:xfrm rot="10800000">
          <a:off x="6372225" y="647701"/>
          <a:ext cx="971550" cy="66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352425</xdr:colOff>
      <xdr:row>21</xdr:row>
      <xdr:rowOff>66675</xdr:rowOff>
    </xdr:from>
    <xdr:to>
      <xdr:col>12</xdr:col>
      <xdr:colOff>9525</xdr:colOff>
      <xdr:row>23</xdr:row>
      <xdr:rowOff>19049</xdr:rowOff>
    </xdr:to>
    <xdr:cxnSp macro="">
      <xdr:nvCxnSpPr>
        <xdr:cNvPr id="30" name="Straight Arrow Connector 29"/>
        <xdr:cNvCxnSpPr/>
      </xdr:nvCxnSpPr>
      <xdr:spPr>
        <a:xfrm rot="10800000" flipV="1">
          <a:off x="6029325" y="4067175"/>
          <a:ext cx="1485900" cy="3333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17</xdr:row>
      <xdr:rowOff>123824</xdr:rowOff>
    </xdr:from>
    <xdr:to>
      <xdr:col>12</xdr:col>
      <xdr:colOff>19050</xdr:colOff>
      <xdr:row>23</xdr:row>
      <xdr:rowOff>95249</xdr:rowOff>
    </xdr:to>
    <xdr:cxnSp macro="">
      <xdr:nvCxnSpPr>
        <xdr:cNvPr id="32" name="Straight Arrow Connector 31"/>
        <xdr:cNvCxnSpPr/>
      </xdr:nvCxnSpPr>
      <xdr:spPr>
        <a:xfrm rot="10800000" flipV="1">
          <a:off x="5505450" y="3362324"/>
          <a:ext cx="1828800" cy="111442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22</xdr:row>
      <xdr:rowOff>85725</xdr:rowOff>
    </xdr:from>
    <xdr:to>
      <xdr:col>12</xdr:col>
      <xdr:colOff>19050</xdr:colOff>
      <xdr:row>23</xdr:row>
      <xdr:rowOff>190499</xdr:rowOff>
    </xdr:to>
    <xdr:cxnSp macro="">
      <xdr:nvCxnSpPr>
        <xdr:cNvPr id="34" name="Straight Arrow Connector 33"/>
        <xdr:cNvCxnSpPr/>
      </xdr:nvCxnSpPr>
      <xdr:spPr>
        <a:xfrm rot="10800000" flipV="1">
          <a:off x="6229350" y="4276725"/>
          <a:ext cx="1295400" cy="2952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247651</xdr:colOff>
      <xdr:row>18</xdr:row>
      <xdr:rowOff>114299</xdr:rowOff>
    </xdr:from>
    <xdr:to>
      <xdr:col>12</xdr:col>
      <xdr:colOff>9528</xdr:colOff>
      <xdr:row>24</xdr:row>
      <xdr:rowOff>66674</xdr:rowOff>
    </xdr:to>
    <xdr:cxnSp macro="">
      <xdr:nvCxnSpPr>
        <xdr:cNvPr id="36" name="Straight Arrow Connector 35"/>
        <xdr:cNvCxnSpPr/>
      </xdr:nvCxnSpPr>
      <xdr:spPr>
        <a:xfrm rot="10800000" flipV="1">
          <a:off x="5924551" y="3543299"/>
          <a:ext cx="1590677" cy="10953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447677</xdr:colOff>
      <xdr:row>25</xdr:row>
      <xdr:rowOff>2</xdr:rowOff>
    </xdr:from>
    <xdr:to>
      <xdr:col>11</xdr:col>
      <xdr:colOff>600075</xdr:colOff>
      <xdr:row>28</xdr:row>
      <xdr:rowOff>76200</xdr:rowOff>
    </xdr:to>
    <xdr:cxnSp macro="">
      <xdr:nvCxnSpPr>
        <xdr:cNvPr id="38" name="Straight Arrow Connector 37"/>
        <xdr:cNvCxnSpPr/>
      </xdr:nvCxnSpPr>
      <xdr:spPr>
        <a:xfrm rot="10800000">
          <a:off x="5514977" y="4762502"/>
          <a:ext cx="1981198" cy="64769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295276</xdr:colOff>
      <xdr:row>27</xdr:row>
      <xdr:rowOff>47628</xdr:rowOff>
    </xdr:from>
    <xdr:to>
      <xdr:col>12</xdr:col>
      <xdr:colOff>1</xdr:colOff>
      <xdr:row>30</xdr:row>
      <xdr:rowOff>95251</xdr:rowOff>
    </xdr:to>
    <xdr:cxnSp macro="">
      <xdr:nvCxnSpPr>
        <xdr:cNvPr id="40" name="Straight Arrow Connector 39"/>
        <xdr:cNvCxnSpPr/>
      </xdr:nvCxnSpPr>
      <xdr:spPr>
        <a:xfrm rot="10800000">
          <a:off x="5362576" y="5191128"/>
          <a:ext cx="2143125" cy="6191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123826</xdr:colOff>
      <xdr:row>32</xdr:row>
      <xdr:rowOff>0</xdr:rowOff>
    </xdr:from>
    <xdr:to>
      <xdr:col>12</xdr:col>
      <xdr:colOff>1</xdr:colOff>
      <xdr:row>32</xdr:row>
      <xdr:rowOff>114301</xdr:rowOff>
    </xdr:to>
    <xdr:cxnSp macro="">
      <xdr:nvCxnSpPr>
        <xdr:cNvPr id="42" name="Straight Arrow Connector 41"/>
        <xdr:cNvCxnSpPr/>
      </xdr:nvCxnSpPr>
      <xdr:spPr>
        <a:xfrm rot="10800000">
          <a:off x="5191126" y="6096000"/>
          <a:ext cx="2314575" cy="11430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32</xdr:row>
      <xdr:rowOff>133351</xdr:rowOff>
    </xdr:from>
    <xdr:to>
      <xdr:col>12</xdr:col>
      <xdr:colOff>9525</xdr:colOff>
      <xdr:row>34</xdr:row>
      <xdr:rowOff>104776</xdr:rowOff>
    </xdr:to>
    <xdr:cxnSp macro="">
      <xdr:nvCxnSpPr>
        <xdr:cNvPr id="43" name="Straight Arrow Connector 42"/>
        <xdr:cNvCxnSpPr/>
      </xdr:nvCxnSpPr>
      <xdr:spPr>
        <a:xfrm rot="10800000">
          <a:off x="4752975" y="6229351"/>
          <a:ext cx="2762250" cy="352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9526</xdr:colOff>
      <xdr:row>17</xdr:row>
      <xdr:rowOff>95249</xdr:rowOff>
    </xdr:from>
    <xdr:to>
      <xdr:col>6</xdr:col>
      <xdr:colOff>333376</xdr:colOff>
      <xdr:row>26</xdr:row>
      <xdr:rowOff>28574</xdr:rowOff>
    </xdr:to>
    <xdr:cxnSp macro="">
      <xdr:nvCxnSpPr>
        <xdr:cNvPr id="45" name="Straight Arrow Connector 44"/>
        <xdr:cNvCxnSpPr/>
      </xdr:nvCxnSpPr>
      <xdr:spPr>
        <a:xfrm rot="16200000" flipH="1">
          <a:off x="2586038" y="3386137"/>
          <a:ext cx="1647825" cy="15430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600076</xdr:colOff>
      <xdr:row>16</xdr:row>
      <xdr:rowOff>66674</xdr:rowOff>
    </xdr:from>
    <xdr:to>
      <xdr:col>6</xdr:col>
      <xdr:colOff>581026</xdr:colOff>
      <xdr:row>26</xdr:row>
      <xdr:rowOff>190499</xdr:rowOff>
    </xdr:to>
    <xdr:cxnSp macro="">
      <xdr:nvCxnSpPr>
        <xdr:cNvPr id="57" name="Straight Arrow Connector 56"/>
        <xdr:cNvCxnSpPr/>
      </xdr:nvCxnSpPr>
      <xdr:spPr>
        <a:xfrm rot="16200000" flipH="1">
          <a:off x="2509838" y="3224212"/>
          <a:ext cx="2028825" cy="18097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18</xdr:row>
      <xdr:rowOff>123824</xdr:rowOff>
    </xdr:from>
    <xdr:to>
      <xdr:col>6</xdr:col>
      <xdr:colOff>571500</xdr:colOff>
      <xdr:row>28</xdr:row>
      <xdr:rowOff>38099</xdr:rowOff>
    </xdr:to>
    <xdr:cxnSp macro="">
      <xdr:nvCxnSpPr>
        <xdr:cNvPr id="59" name="Straight Arrow Connector 58"/>
        <xdr:cNvCxnSpPr/>
      </xdr:nvCxnSpPr>
      <xdr:spPr>
        <a:xfrm rot="16200000" flipH="1">
          <a:off x="2609850" y="3562349"/>
          <a:ext cx="1819275" cy="18002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19</xdr:row>
      <xdr:rowOff>142875</xdr:rowOff>
    </xdr:from>
    <xdr:to>
      <xdr:col>6</xdr:col>
      <xdr:colOff>333375</xdr:colOff>
      <xdr:row>27</xdr:row>
      <xdr:rowOff>85725</xdr:rowOff>
    </xdr:to>
    <xdr:cxnSp macro="">
      <xdr:nvCxnSpPr>
        <xdr:cNvPr id="61" name="Straight Arrow Connector 60"/>
        <xdr:cNvCxnSpPr/>
      </xdr:nvCxnSpPr>
      <xdr:spPr>
        <a:xfrm>
          <a:off x="2638425" y="3762375"/>
          <a:ext cx="1543050" cy="14668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21</xdr:row>
      <xdr:rowOff>123825</xdr:rowOff>
    </xdr:from>
    <xdr:to>
      <xdr:col>6</xdr:col>
      <xdr:colOff>142875</xdr:colOff>
      <xdr:row>27</xdr:row>
      <xdr:rowOff>152400</xdr:rowOff>
    </xdr:to>
    <xdr:cxnSp macro="">
      <xdr:nvCxnSpPr>
        <xdr:cNvPr id="63" name="Straight Arrow Connector 62"/>
        <xdr:cNvCxnSpPr/>
      </xdr:nvCxnSpPr>
      <xdr:spPr>
        <a:xfrm>
          <a:off x="2619375" y="4124325"/>
          <a:ext cx="1371600" cy="11715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22</xdr:row>
      <xdr:rowOff>95250</xdr:rowOff>
    </xdr:from>
    <xdr:to>
      <xdr:col>5</xdr:col>
      <xdr:colOff>504825</xdr:colOff>
      <xdr:row>27</xdr:row>
      <xdr:rowOff>28575</xdr:rowOff>
    </xdr:to>
    <xdr:cxnSp macro="">
      <xdr:nvCxnSpPr>
        <xdr:cNvPr id="65" name="Straight Arrow Connector 64"/>
        <xdr:cNvCxnSpPr/>
      </xdr:nvCxnSpPr>
      <xdr:spPr>
        <a:xfrm>
          <a:off x="2647950" y="4286250"/>
          <a:ext cx="1095375" cy="88582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590550</xdr:colOff>
      <xdr:row>24</xdr:row>
      <xdr:rowOff>114300</xdr:rowOff>
    </xdr:from>
    <xdr:to>
      <xdr:col>6</xdr:col>
      <xdr:colOff>114300</xdr:colOff>
      <xdr:row>29</xdr:row>
      <xdr:rowOff>19050</xdr:rowOff>
    </xdr:to>
    <xdr:cxnSp macro="">
      <xdr:nvCxnSpPr>
        <xdr:cNvPr id="69" name="Straight Arrow Connector 68"/>
        <xdr:cNvCxnSpPr/>
      </xdr:nvCxnSpPr>
      <xdr:spPr>
        <a:xfrm>
          <a:off x="2609850" y="4686300"/>
          <a:ext cx="1352550" cy="8572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25</xdr:row>
      <xdr:rowOff>104775</xdr:rowOff>
    </xdr:from>
    <xdr:to>
      <xdr:col>5</xdr:col>
      <xdr:colOff>409575</xdr:colOff>
      <xdr:row>28</xdr:row>
      <xdr:rowOff>104775</xdr:rowOff>
    </xdr:to>
    <xdr:cxnSp macro="">
      <xdr:nvCxnSpPr>
        <xdr:cNvPr id="71" name="Straight Arrow Connector 70"/>
        <xdr:cNvCxnSpPr/>
      </xdr:nvCxnSpPr>
      <xdr:spPr>
        <a:xfrm>
          <a:off x="2638425" y="4867275"/>
          <a:ext cx="1009650" cy="571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27</xdr:row>
      <xdr:rowOff>114300</xdr:rowOff>
    </xdr:from>
    <xdr:to>
      <xdr:col>6</xdr:col>
      <xdr:colOff>333375</xdr:colOff>
      <xdr:row>31</xdr:row>
      <xdr:rowOff>142875</xdr:rowOff>
    </xdr:to>
    <xdr:cxnSp macro="">
      <xdr:nvCxnSpPr>
        <xdr:cNvPr id="74" name="Straight Arrow Connector 73"/>
        <xdr:cNvCxnSpPr/>
      </xdr:nvCxnSpPr>
      <xdr:spPr>
        <a:xfrm>
          <a:off x="2628900" y="5257800"/>
          <a:ext cx="1552575" cy="7905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28</xdr:row>
      <xdr:rowOff>114300</xdr:rowOff>
    </xdr:from>
    <xdr:to>
      <xdr:col>6</xdr:col>
      <xdr:colOff>542925</xdr:colOff>
      <xdr:row>32</xdr:row>
      <xdr:rowOff>133350</xdr:rowOff>
    </xdr:to>
    <xdr:cxnSp macro="">
      <xdr:nvCxnSpPr>
        <xdr:cNvPr id="76" name="Straight Arrow Connector 75"/>
        <xdr:cNvCxnSpPr/>
      </xdr:nvCxnSpPr>
      <xdr:spPr>
        <a:xfrm>
          <a:off x="2647950" y="5448300"/>
          <a:ext cx="1743075" cy="7810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30</xdr:row>
      <xdr:rowOff>95250</xdr:rowOff>
    </xdr:from>
    <xdr:to>
      <xdr:col>5</xdr:col>
      <xdr:colOff>514350</xdr:colOff>
      <xdr:row>32</xdr:row>
      <xdr:rowOff>104775</xdr:rowOff>
    </xdr:to>
    <xdr:cxnSp macro="">
      <xdr:nvCxnSpPr>
        <xdr:cNvPr id="78" name="Straight Arrow Connector 77"/>
        <xdr:cNvCxnSpPr/>
      </xdr:nvCxnSpPr>
      <xdr:spPr>
        <a:xfrm>
          <a:off x="2619375" y="5810250"/>
          <a:ext cx="1133475" cy="390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31</xdr:row>
      <xdr:rowOff>104775</xdr:rowOff>
    </xdr:from>
    <xdr:to>
      <xdr:col>6</xdr:col>
      <xdr:colOff>114300</xdr:colOff>
      <xdr:row>33</xdr:row>
      <xdr:rowOff>95250</xdr:rowOff>
    </xdr:to>
    <xdr:cxnSp macro="">
      <xdr:nvCxnSpPr>
        <xdr:cNvPr id="80" name="Straight Arrow Connector 79"/>
        <xdr:cNvCxnSpPr/>
      </xdr:nvCxnSpPr>
      <xdr:spPr>
        <a:xfrm>
          <a:off x="2619375" y="6010275"/>
          <a:ext cx="1343025" cy="371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8"/>
  <sheetViews>
    <sheetView tabSelected="1" workbookViewId="0">
      <selection activeCell="M33" sqref="M33"/>
    </sheetView>
  </sheetViews>
  <sheetFormatPr defaultRowHeight="15"/>
  <cols>
    <col min="2" max="2" width="12" bestFit="1" customWidth="1"/>
  </cols>
  <sheetData>
    <row r="1" spans="1:15">
      <c r="A1" s="2" t="s">
        <v>1</v>
      </c>
      <c r="B1" s="2" t="s">
        <v>0</v>
      </c>
      <c r="C1" s="2" t="s">
        <v>2</v>
      </c>
      <c r="D1" s="1"/>
      <c r="E1" s="1"/>
      <c r="F1" s="1"/>
      <c r="G1" s="1"/>
      <c r="H1" s="1"/>
      <c r="I1" s="1"/>
      <c r="J1" s="1"/>
      <c r="K1" s="1"/>
      <c r="L1" s="6"/>
      <c r="M1" s="2" t="s">
        <v>1</v>
      </c>
      <c r="N1" s="2" t="s">
        <v>0</v>
      </c>
      <c r="O1" s="2" t="s">
        <v>2</v>
      </c>
    </row>
    <row r="2" spans="1:15">
      <c r="A2" s="3"/>
      <c r="B2" s="5"/>
    </row>
    <row r="3" spans="1:15">
      <c r="A3" s="3">
        <v>49.81</v>
      </c>
      <c r="B3" s="5">
        <f>Hypotenuse(0.4065,0.0079)</f>
        <v>0.40657675782070968</v>
      </c>
      <c r="C3">
        <f>Moment(A3,B3)</f>
        <v>8.2338251146000015E-3</v>
      </c>
    </row>
    <row r="4" spans="1:15">
      <c r="A4" s="3"/>
      <c r="B4" s="5"/>
      <c r="M4">
        <v>7.31</v>
      </c>
      <c r="N4">
        <f>Hypotenuse(0.4065,0.0003)</f>
        <v>0.40650011070109193</v>
      </c>
      <c r="O4">
        <f>Moment(M4,N4)</f>
        <v>1.2079215053999999E-3</v>
      </c>
    </row>
    <row r="5" spans="1:15">
      <c r="A5" s="3">
        <v>101.2</v>
      </c>
      <c r="B5" s="5">
        <f>Hypotenuse(0.4065,0.019)</f>
        <v>0.40694379218756976</v>
      </c>
      <c r="C5">
        <f>Moment(A5,B5)</f>
        <v>1.6759048899999997E-2</v>
      </c>
    </row>
    <row r="6" spans="1:15">
      <c r="A6" s="3"/>
      <c r="B6" s="5"/>
      <c r="M6">
        <v>7.31</v>
      </c>
      <c r="N6">
        <f>Hypotenuse(0.4065,0.0003)</f>
        <v>0.40650011070109193</v>
      </c>
      <c r="O6">
        <f>Moment(M6,N6)</f>
        <v>1.2079215053999999E-3</v>
      </c>
    </row>
    <row r="7" spans="1:15">
      <c r="A7" s="3"/>
      <c r="B7" s="5"/>
    </row>
    <row r="8" spans="1:15">
      <c r="A8" s="3">
        <v>5.21</v>
      </c>
      <c r="B8" s="5">
        <f>Hypotenuse(0.4215,0.0063)</f>
        <v>0.42154707922128937</v>
      </c>
      <c r="C8">
        <f>Moment(A8,B8)</f>
        <v>9.2582710740000008E-4</v>
      </c>
      <c r="M8">
        <v>93.26</v>
      </c>
      <c r="N8">
        <f>Hypotenuse(0.4065,0)</f>
        <v>0.40649999999999997</v>
      </c>
      <c r="O8">
        <f>Moment(M8,N8)</f>
        <v>1.5410492235E-2</v>
      </c>
    </row>
    <row r="9" spans="1:15">
      <c r="A9" s="3"/>
      <c r="B9" s="5"/>
    </row>
    <row r="10" spans="1:15">
      <c r="A10" s="3">
        <v>5.21</v>
      </c>
      <c r="B10" s="5">
        <f>Hypotenuse(0.4215,0.0063)</f>
        <v>0.42154707922128937</v>
      </c>
      <c r="C10">
        <f>Moment(A10,B10)</f>
        <v>9.2582710740000008E-4</v>
      </c>
      <c r="M10">
        <v>93.44</v>
      </c>
      <c r="N10">
        <f>Hypotenuse(0.4065,0)</f>
        <v>0.40649999999999997</v>
      </c>
      <c r="O10">
        <f>Moment(M10,N10)</f>
        <v>1.5440235839999997E-2</v>
      </c>
    </row>
    <row r="11" spans="1:15">
      <c r="A11" s="3"/>
      <c r="B11" s="5"/>
    </row>
    <row r="12" spans="1:15">
      <c r="A12" s="3">
        <v>5.21</v>
      </c>
      <c r="B12" s="5">
        <f>Hypotenuse(0.3915,0.0063)</f>
        <v>0.39155068637406321</v>
      </c>
      <c r="C12">
        <f>Moment(A12,B12)</f>
        <v>7.9875520740000012E-4</v>
      </c>
      <c r="M12">
        <v>52.77</v>
      </c>
      <c r="N12" s="5">
        <f>Hypotenuse(0.4065,-0.0079)</f>
        <v>0.40657675782070968</v>
      </c>
      <c r="O12">
        <f>Moment(M12,N12)</f>
        <v>8.7231269082000025E-3</v>
      </c>
    </row>
    <row r="13" spans="1:15">
      <c r="A13" s="3"/>
      <c r="B13" s="5"/>
    </row>
    <row r="14" spans="1:15">
      <c r="A14" s="3">
        <v>5.21</v>
      </c>
      <c r="B14" s="5">
        <f>Hypotenuse(0.3915,0.0063)</f>
        <v>0.39155068637406321</v>
      </c>
      <c r="C14">
        <f t="shared" ref="C13:C14" si="0">Moment(A14,B14)</f>
        <v>7.9875520740000012E-4</v>
      </c>
    </row>
    <row r="15" spans="1:15">
      <c r="A15" s="3"/>
      <c r="B15" s="5"/>
      <c r="M15">
        <v>92.1</v>
      </c>
      <c r="N15">
        <f>Hypotenuse(0.2365,0)</f>
        <v>0.23649999999999999</v>
      </c>
      <c r="O15">
        <f>Moment(M15,N15)</f>
        <v>5.1513602249999993E-3</v>
      </c>
    </row>
    <row r="16" spans="1:15">
      <c r="A16" s="3"/>
      <c r="B16" s="5"/>
    </row>
    <row r="17" spans="1:15">
      <c r="A17" s="3">
        <v>0.4</v>
      </c>
      <c r="B17" s="5">
        <f>Hypotenuse(0.087,0.013)</f>
        <v>8.7965902484996986E-2</v>
      </c>
      <c r="C17">
        <f t="shared" ref="C17:C32" si="1">Moment(A17,B17)</f>
        <v>3.0952E-6</v>
      </c>
    </row>
    <row r="18" spans="1:15">
      <c r="A18" s="3">
        <v>0.4</v>
      </c>
      <c r="B18" s="5">
        <f>Hypotenuse(0.087,0.013)</f>
        <v>8.7965902484996986E-2</v>
      </c>
      <c r="C18">
        <f t="shared" si="1"/>
        <v>3.0952E-6</v>
      </c>
      <c r="M18" s="3">
        <v>0.4</v>
      </c>
      <c r="N18">
        <f>Hypotenuse(0.087,0.0145)</f>
        <v>8.820005668932418E-2</v>
      </c>
      <c r="O18">
        <f>Moment(M18,N18)</f>
        <v>3.1116999999999998E-6</v>
      </c>
    </row>
    <row r="19" spans="1:15">
      <c r="A19" s="3">
        <v>0.4</v>
      </c>
      <c r="B19" s="5">
        <f>Hypotenuse(0.066,0.013)</f>
        <v>6.7268120235368559E-2</v>
      </c>
      <c r="C19">
        <f t="shared" si="1"/>
        <v>1.8100000000000007E-6</v>
      </c>
      <c r="M19" s="3">
        <v>0.4</v>
      </c>
      <c r="N19">
        <f>Hypotenuse(0.087,0.0145)</f>
        <v>8.820005668932418E-2</v>
      </c>
      <c r="O19">
        <f>Moment(M19,N19)</f>
        <v>3.1116999999999998E-6</v>
      </c>
    </row>
    <row r="20" spans="1:15">
      <c r="A20" s="3">
        <v>0.4</v>
      </c>
      <c r="B20" s="5">
        <f>Hypotenuse(0.066,0.013)</f>
        <v>6.7268120235368559E-2</v>
      </c>
      <c r="C20">
        <f t="shared" si="1"/>
        <v>1.8100000000000007E-6</v>
      </c>
    </row>
    <row r="21" spans="1:15">
      <c r="A21" s="3"/>
      <c r="B21" s="5"/>
    </row>
    <row r="22" spans="1:15">
      <c r="A22" s="3">
        <v>6.1</v>
      </c>
      <c r="B22" s="5">
        <f>Hypotenuse(0.087,0.0011)</f>
        <v>8.7006953745088669E-2</v>
      </c>
      <c r="C22">
        <f t="shared" si="1"/>
        <v>4.6178280999999993E-5</v>
      </c>
      <c r="M22">
        <v>1.01</v>
      </c>
      <c r="N22">
        <f>Hypotenuse(0.087,0.0178)</f>
        <v>8.8802252223690814E-2</v>
      </c>
      <c r="O22">
        <f>Moment(M22,N22)</f>
        <v>7.9646983999999994E-6</v>
      </c>
    </row>
    <row r="23" spans="1:15">
      <c r="A23" s="3">
        <v>6.1</v>
      </c>
      <c r="B23" s="5">
        <f>Hypotenuse(0.087,0.0011)</f>
        <v>8.7006953745088669E-2</v>
      </c>
      <c r="C23">
        <f t="shared" si="1"/>
        <v>4.6178280999999993E-5</v>
      </c>
      <c r="M23">
        <v>1.01</v>
      </c>
      <c r="N23">
        <f>Hypotenuse(0.087,0.0178)</f>
        <v>8.8802252223690814E-2</v>
      </c>
      <c r="O23">
        <f>Moment(M23,N23)</f>
        <v>7.9646983999999994E-6</v>
      </c>
    </row>
    <row r="24" spans="1:15">
      <c r="A24" s="3"/>
      <c r="B24" s="5"/>
    </row>
    <row r="25" spans="1:15">
      <c r="A25" s="3">
        <v>5.38</v>
      </c>
      <c r="B25" s="5">
        <f>Hypotenuse(0.066,0.0035)</f>
        <v>6.6092737876411206E-2</v>
      </c>
      <c r="C25">
        <f t="shared" si="1"/>
        <v>2.3501185000000004E-5</v>
      </c>
    </row>
    <row r="26" spans="1:15">
      <c r="A26" s="3">
        <v>5.38</v>
      </c>
      <c r="B26" s="5">
        <f>Hypotenuse(0.066,0.0035)</f>
        <v>6.6092737876411206E-2</v>
      </c>
      <c r="C26">
        <f t="shared" si="1"/>
        <v>2.3501185000000004E-5</v>
      </c>
    </row>
    <row r="27" spans="1:15">
      <c r="A27" s="3"/>
      <c r="B27" s="5"/>
    </row>
    <row r="28" spans="1:15">
      <c r="A28" s="3">
        <v>0.4</v>
      </c>
      <c r="B28" s="5">
        <f>Hypotenuse(0.0095,0.013)</f>
        <v>1.6101242188104617E-2</v>
      </c>
      <c r="C28">
        <f t="shared" si="1"/>
        <v>1.0369999999999998E-7</v>
      </c>
    </row>
    <row r="29" spans="1:15">
      <c r="A29" s="3">
        <v>0.4</v>
      </c>
      <c r="B29" s="5">
        <f>Hypotenuse(0.0095,0.013)</f>
        <v>1.6101242188104617E-2</v>
      </c>
      <c r="C29">
        <f t="shared" si="1"/>
        <v>1.0369999999999998E-7</v>
      </c>
      <c r="M29">
        <v>8</v>
      </c>
      <c r="N29">
        <f>Hypotenuse(0.0928,0.0194)</f>
        <v>9.480611794604818E-2</v>
      </c>
      <c r="O29">
        <f>Moment(M29,N29)</f>
        <v>7.1905599999999985E-5</v>
      </c>
    </row>
    <row r="30" spans="1:15">
      <c r="A30" s="3"/>
      <c r="B30" s="5"/>
    </row>
    <row r="31" spans="1:15">
      <c r="A31" s="3">
        <v>5.38</v>
      </c>
      <c r="B31" s="5">
        <f>Hypotenuse(0.0095,0.0035)</f>
        <v>1.0124228365658293E-2</v>
      </c>
      <c r="C31">
        <f t="shared" si="1"/>
        <v>5.5144999999999993E-7</v>
      </c>
      <c r="M31">
        <v>108.41</v>
      </c>
      <c r="N31">
        <f>Hypotenuse(0.0374,0.0071)</f>
        <v>3.8067965535342183E-2</v>
      </c>
      <c r="O31">
        <f>Moment(M31,N31)</f>
        <v>1.5710451970000003E-4</v>
      </c>
    </row>
    <row r="32" spans="1:15">
      <c r="A32" s="3">
        <v>5.38</v>
      </c>
      <c r="B32" s="5">
        <f>Hypotenuse(0.0095,0.0035)</f>
        <v>1.0124228365658293E-2</v>
      </c>
      <c r="C32">
        <f t="shared" si="1"/>
        <v>5.5144999999999993E-7</v>
      </c>
    </row>
    <row r="33" spans="1:15">
      <c r="A33" s="3"/>
      <c r="B33" s="5"/>
      <c r="M33">
        <f>71.82+0.13+0.13</f>
        <v>72.079999999999984</v>
      </c>
      <c r="N33">
        <f>Hypotenuse(0,0)</f>
        <v>0</v>
      </c>
      <c r="O33">
        <f>Moment(M33,N33)</f>
        <v>0</v>
      </c>
    </row>
    <row r="34" spans="1:15">
      <c r="A34" s="3"/>
      <c r="B34" s="4"/>
    </row>
    <row r="35" spans="1:15">
      <c r="A35" s="3"/>
      <c r="B35" s="4"/>
      <c r="M35">
        <v>106.86</v>
      </c>
      <c r="N35">
        <f>Hypotenuse(0.0374,0.0071)</f>
        <v>3.8067965535342183E-2</v>
      </c>
      <c r="O35">
        <f>Moment(M35,N35)</f>
        <v>1.5485830620000002E-4</v>
      </c>
    </row>
    <row r="37" spans="1:15">
      <c r="G37" t="s">
        <v>3</v>
      </c>
      <c r="I37">
        <f>SUM(C2:C36)+SUM(O2:O37)</f>
        <v>7.6139597717899993E-2</v>
      </c>
    </row>
    <row r="38" spans="1:15">
      <c r="G38" t="s">
        <v>4</v>
      </c>
      <c r="I38" s="3">
        <f>SUM(A3:A37)+SUM(M3:M36)</f>
        <v>852.33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Russell</dc:creator>
  <cp:lastModifiedBy>Russell</cp:lastModifiedBy>
  <dcterms:created xsi:type="dcterms:W3CDTF">2014-04-26T00:57:06Z</dcterms:created>
  <dcterms:modified xsi:type="dcterms:W3CDTF">2014-05-26T15:11:16Z</dcterms:modified>
</cp:coreProperties>
</file>